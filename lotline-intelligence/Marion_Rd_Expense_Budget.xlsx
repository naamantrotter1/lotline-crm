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ion 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<sst xmlns="http://schemas.openxmlformats.org/spreadsheetml/2006/main" count="52" uniqueCount="52">
  <si>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10-2 MARION RD — PROPERTY EXPENSE BUDGET</t>
  </si>
  <si>
    <t xml:space="preserve">LotLine Intelligence  |  Dorchester, SC 29437  |  Investor: Blue Bay Capital</t>
  </si>
  <si>
    <t xml:space="preserve">Expense Item</t>
  </si>
  <si>
    <t xml:space="preserve">Budgeted Cost ($)</t>
  </si>
  <si>
    <t xml:space="preserve">Notes</t>
  </si>
  <si>
    <t xml:space="preserve">  LAND COST</t>
  </si>
  <si>
    <t xml:space="preserve">Land Purchase Price</t>
  </si>
  <si>
    <t xml:space="preserve">  Land Cost Subtotal</t>
  </si>
  <si>
    <t xml:space="preserve">  MANUFACTURED HOME COST</t>
  </si>
  <si>
    <t xml:space="preserve">Manufactured Home Purchase Price</t>
  </si>
  <si>
    <t xml:space="preserve">Clayton – The Snowcap (4bd/3ba)</t>
  </si>
  <si>
    <t xml:space="preserve">  Home Cost Subtotal</t>
  </si>
  <si>
    <t xml:space="preserve">  PRE-DELIVERY EXPENSES</t>
  </si>
  <si>
    <t xml:space="preserve">HUD Engineer</t>
  </si>
  <si>
    <t xml:space="preserve">HUD compliance engineering report</t>
  </si>
  <si>
    <t xml:space="preserve">Perc Test / Permit</t>
  </si>
  <si>
    <t xml:space="preserve">Soil percolation test for septic approval</t>
  </si>
  <si>
    <t xml:space="preserve">Land Survey</t>
  </si>
  <si>
    <t xml:space="preserve">Property boundary survey</t>
  </si>
  <si>
    <t xml:space="preserve">Footers / Foundation</t>
  </si>
  <si>
    <t xml:space="preserve">Footer excavation and pour</t>
  </si>
  <si>
    <t xml:space="preserve">Home Set Up</t>
  </si>
  <si>
    <t xml:space="preserve">Blocking, tie-downs, marriage wall</t>
  </si>
  <si>
    <t xml:space="preserve">Clear Land</t>
  </si>
  <si>
    <t xml:space="preserve">Site clearing and grading</t>
  </si>
  <si>
    <t xml:space="preserve">  Pre-Delivery Subtotal</t>
  </si>
  <si>
    <t xml:space="preserve">  POST-DELIVERY EXPENSES</t>
  </si>
  <si>
    <t xml:space="preserve">Water (Well)</t>
  </si>
  <si>
    <t xml:space="preserve">Well drilling and pump</t>
  </si>
  <si>
    <t xml:space="preserve">Septic System</t>
  </si>
  <si>
    <t xml:space="preserve">Septic tank and drain field</t>
  </si>
  <si>
    <t xml:space="preserve">Electric / Utility Hook-Up</t>
  </si>
  <si>
    <t xml:space="preserve">Service entrance and panel</t>
  </si>
  <si>
    <t xml:space="preserve">HVAC</t>
  </si>
  <si>
    <t xml:space="preserve">Heating and cooling system</t>
  </si>
  <si>
    <t xml:space="preserve">Skirting</t>
  </si>
  <si>
    <t xml:space="preserve">Underpinning / skirting material &amp; install</t>
  </si>
  <si>
    <t xml:space="preserve">Decks / Steps</t>
  </si>
  <si>
    <t xml:space="preserve">Entry and rear decks</t>
  </si>
  <si>
    <t xml:space="preserve">Driveway</t>
  </si>
  <si>
    <t xml:space="preserve">Gravel or paved driveway</t>
  </si>
  <si>
    <t xml:space="preserve">Landscaping / Final Grading</t>
  </si>
  <si>
    <t xml:space="preserve">Seeding, grading, cleanup</t>
  </si>
  <si>
    <t xml:space="preserve">Water / Sewer Hook-Up Fee</t>
  </si>
  <si>
    <t xml:space="preserve">Municipal or county connection fee</t>
  </si>
  <si>
    <t xml:space="preserve">Mailbox</t>
  </si>
  <si>
    <t xml:space="preserve">Post and mailbox installation</t>
  </si>
  <si>
    <t xml:space="preserve">Mobile Home Tax</t>
  </si>
  <si>
    <t xml:space="preserve">State/county manufactured home tax</t>
  </si>
  <si>
    <t xml:space="preserve">  Post-Delivery Subtotal</t>
  </si>
  <si>
    <t xml:space="preserve">  TOTAL PROJECT COST</t>
  </si>
  <si>
    <t xml:space="preserve">Blue values = input fields (enter your costs)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</si>
</sst>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559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339966"/>
      <rgbColor rgb="FF003300"/>
      <rgbColor rgb="FF375623"/>
      <rgbColor rgb="FF993300"/>
      <rgbColor rgb="FF993366"/>
      <rgbColor rgb="FF2E5597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3"/>
  </cols>
  <sheetData>
    <row r="1" customFormat="false" ht="27.75" hidden="false" customHeight="true" outlineLevel="0" collapsed="false">
      <c r="B1" s="1" t="s">
        <v>0</v>
      </c>
      <c r="C1" s="1"/>
      <c r="D1" s="1"/>
    </row>
    <row r="2" customFormat="false" ht="18" hidden="false" customHeight="true" outlineLevel="0" collapsed="false">
      <c r="B2" s="2" t="s">
        <v>1</v>
      </c>
      <c r="C2" s="2"/>
      <c r="D2" s="2"/>
    </row>
    <row r="3" customFormat="false" ht="18" hidden="false" customHeight="true" outlineLevel="0" collapsed="false"/>
    <row r="4" customFormat="false" ht="19.5" hidden="false" customHeight="true" outlineLevel="0" collapsed="false">
      <c r="B4" s="3" t="s">
        <v>2</v>
      </c>
      <c r="C4" s="3" t="s">
        <v>3</v>
      </c>
      <c r="D4" s="3" t="s">
        <v>4</v>
      </c>
    </row>
    <row r="5" customFormat="false" ht="18" hidden="false" customHeight="true" outlineLevel="0" collapsed="false"/>
    <row r="6" customFormat="false" ht="19.5" hidden="false" customHeight="true" outlineLevel="0" collapsed="false">
      <c r="B6" s="4" t="s">
        <v>5</v>
      </c>
      <c r="C6" s="4"/>
      <c r="D6" s="4"/>
    </row>
    <row r="7" customFormat="false" ht="18" hidden="false" customHeight="true" outlineLevel="0" collapsed="false">
      <c r="B7" s="5" t="s">
        <v>6</v>
      </c>
      <c r="C7" s="6" t="n">
        <v>57500</v>
      </c>
      <c r="D7" s="7"/>
    </row>
    <row r="8" customFormat="false" ht="18" hidden="false" customHeight="true" outlineLevel="0" collapsed="false">
      <c r="B8" s="8" t="s">
        <v>7</v>
      </c>
      <c r="C8" s="9" t="n">
        <f aca="false">C7</f>
        <v>57500</v>
      </c>
      <c r="D8" s="10"/>
    </row>
    <row r="9" customFormat="false" ht="18" hidden="false" customHeight="true" outlineLevel="0" collapsed="false"/>
    <row r="10" customFormat="false" ht="19.5" hidden="false" customHeight="true" outlineLevel="0" collapsed="false">
      <c r="B10" s="4" t="s">
        <v>8</v>
      </c>
      <c r="C10" s="4"/>
      <c r="D10" s="4"/>
    </row>
    <row r="11" customFormat="false" ht="18" hidden="false" customHeight="true" outlineLevel="0" collapsed="false">
      <c r="B11" s="5" t="s">
        <v>9</v>
      </c>
      <c r="C11" s="6" t="n">
        <v>95000</v>
      </c>
      <c r="D11" s="7" t="s">
        <v>10</v>
      </c>
    </row>
    <row r="12" customFormat="false" ht="18" hidden="false" customHeight="true" outlineLevel="0" collapsed="false">
      <c r="B12" s="8" t="s">
        <v>11</v>
      </c>
      <c r="C12" s="9" t="n">
        <f aca="false">C11</f>
        <v>95000</v>
      </c>
      <c r="D12" s="10"/>
    </row>
    <row r="13" customFormat="false" ht="18" hidden="false" customHeight="true" outlineLevel="0" collapsed="false"/>
    <row r="14" customFormat="false" ht="19.5" hidden="false" customHeight="true" outlineLevel="0" collapsed="false">
      <c r="B14" s="11" t="s">
        <v>12</v>
      </c>
      <c r="C14" s="11"/>
      <c r="D14" s="11"/>
    </row>
    <row r="15" customFormat="false" ht="18" hidden="false" customHeight="true" outlineLevel="0" collapsed="false">
      <c r="B15" s="5" t="s">
        <v>13</v>
      </c>
      <c r="C15" s="6" t="n">
        <v>500</v>
      </c>
      <c r="D15" s="7" t="s">
        <v>14</v>
      </c>
    </row>
    <row r="16" customFormat="false" ht="18" hidden="false" customHeight="true" outlineLevel="0" collapsed="false">
      <c r="B16" s="5" t="s">
        <v>15</v>
      </c>
      <c r="C16" s="6"/>
      <c r="D16" s="7" t="s">
        <v>16</v>
      </c>
    </row>
    <row r="17" customFormat="false" ht="18" hidden="false" customHeight="true" outlineLevel="0" collapsed="false">
      <c r="B17" s="5" t="s">
        <v>17</v>
      </c>
      <c r="C17" s="6"/>
      <c r="D17" s="7" t="s">
        <v>18</v>
      </c>
    </row>
    <row r="18" customFormat="false" ht="18" hidden="false" customHeight="true" outlineLevel="0" collapsed="false">
      <c r="B18" s="5" t="s">
        <v>19</v>
      </c>
      <c r="C18" s="6" t="n">
        <v>6000</v>
      </c>
      <c r="D18" s="7" t="s">
        <v>20</v>
      </c>
    </row>
    <row r="19" customFormat="false" ht="18" hidden="false" customHeight="true" outlineLevel="0" collapsed="false">
      <c r="B19" s="5" t="s">
        <v>21</v>
      </c>
      <c r="C19" s="6" t="n">
        <v>9000</v>
      </c>
      <c r="D19" s="7" t="s">
        <v>22</v>
      </c>
    </row>
    <row r="20" customFormat="false" ht="18" hidden="false" customHeight="true" outlineLevel="0" collapsed="false">
      <c r="B20" s="5" t="s">
        <v>23</v>
      </c>
      <c r="C20" s="6"/>
      <c r="D20" s="7" t="s">
        <v>24</v>
      </c>
    </row>
    <row r="21" customFormat="false" ht="18" hidden="false" customHeight="true" outlineLevel="0" collapsed="false">
      <c r="B21" s="12" t="s">
        <v>25</v>
      </c>
      <c r="C21" s="13" t="n">
        <f aca="false">SUM(C15:C20)</f>
        <v>15500</v>
      </c>
      <c r="D21" s="14"/>
    </row>
    <row r="22" customFormat="false" ht="18" hidden="false" customHeight="true" outlineLevel="0" collapsed="false"/>
    <row r="23" customFormat="false" ht="19.5" hidden="false" customHeight="true" outlineLevel="0" collapsed="false">
      <c r="B23" s="15" t="s">
        <v>26</v>
      </c>
      <c r="C23" s="15"/>
      <c r="D23" s="15"/>
    </row>
    <row r="24" customFormat="false" ht="18" hidden="false" customHeight="true" outlineLevel="0" collapsed="false">
      <c r="B24" s="5" t="s">
        <v>27</v>
      </c>
      <c r="C24" s="6" t="n">
        <v>10000</v>
      </c>
      <c r="D24" s="7" t="s">
        <v>28</v>
      </c>
    </row>
    <row r="25" customFormat="false" ht="18" hidden="false" customHeight="true" outlineLevel="0" collapsed="false">
      <c r="B25" s="5" t="s">
        <v>29</v>
      </c>
      <c r="C25" s="6" t="n">
        <v>7500</v>
      </c>
      <c r="D25" s="7" t="s">
        <v>30</v>
      </c>
    </row>
    <row r="26" customFormat="false" ht="18" hidden="false" customHeight="true" outlineLevel="0" collapsed="false">
      <c r="B26" s="5" t="s">
        <v>31</v>
      </c>
      <c r="C26" s="6" t="n">
        <v>2000</v>
      </c>
      <c r="D26" s="7" t="s">
        <v>32</v>
      </c>
    </row>
    <row r="27" customFormat="false" ht="18" hidden="false" customHeight="true" outlineLevel="0" collapsed="false">
      <c r="B27" s="5" t="s">
        <v>33</v>
      </c>
      <c r="C27" s="6" t="n">
        <v>4500</v>
      </c>
      <c r="D27" s="7" t="s">
        <v>34</v>
      </c>
    </row>
    <row r="28" customFormat="false" ht="18" hidden="false" customHeight="true" outlineLevel="0" collapsed="false">
      <c r="B28" s="5" t="s">
        <v>35</v>
      </c>
      <c r="C28" s="6" t="n">
        <v>5650</v>
      </c>
      <c r="D28" s="7" t="s">
        <v>36</v>
      </c>
    </row>
    <row r="29" customFormat="false" ht="18" hidden="false" customHeight="true" outlineLevel="0" collapsed="false">
      <c r="B29" s="5" t="s">
        <v>37</v>
      </c>
      <c r="C29" s="6" t="n">
        <v>3500</v>
      </c>
      <c r="D29" s="7" t="s">
        <v>38</v>
      </c>
    </row>
    <row r="30" customFormat="false" ht="18" hidden="false" customHeight="true" outlineLevel="0" collapsed="false">
      <c r="B30" s="5" t="s">
        <v>39</v>
      </c>
      <c r="C30" s="6" t="n">
        <v>1200</v>
      </c>
      <c r="D30" s="7" t="s">
        <v>40</v>
      </c>
    </row>
    <row r="31" customFormat="false" ht="18" hidden="false" customHeight="true" outlineLevel="0" collapsed="false">
      <c r="B31" s="5" t="s">
        <v>41</v>
      </c>
      <c r="C31" s="6"/>
      <c r="D31" s="7" t="s">
        <v>42</v>
      </c>
    </row>
    <row r="32" customFormat="false" ht="18" hidden="false" customHeight="true" outlineLevel="0" collapsed="false">
      <c r="B32" s="5" t="s">
        <v>43</v>
      </c>
      <c r="C32" s="6" t="n">
        <v>1500</v>
      </c>
      <c r="D32" s="7" t="s">
        <v>44</v>
      </c>
    </row>
    <row r="33" customFormat="false" ht="18" hidden="false" customHeight="true" outlineLevel="0" collapsed="false">
      <c r="B33" s="5" t="s">
        <v>45</v>
      </c>
      <c r="C33" s="6" t="n">
        <v>170</v>
      </c>
      <c r="D33" s="7" t="s">
        <v>46</v>
      </c>
    </row>
    <row r="34" customFormat="false" ht="18" hidden="false" customHeight="true" outlineLevel="0" collapsed="false">
      <c r="B34" s="5" t="s">
        <v>47</v>
      </c>
      <c r="C34" s="6" t="n">
        <v>300</v>
      </c>
      <c r="D34" s="7" t="s">
        <v>48</v>
      </c>
    </row>
    <row r="35" customFormat="false" ht="18" hidden="false" customHeight="true" outlineLevel="0" collapsed="false">
      <c r="B35" s="16" t="s">
        <v>49</v>
      </c>
      <c r="C35" s="17" t="n">
        <f aca="false">SUM(C24:C34)</f>
        <v>36320</v>
      </c>
      <c r="D35" s="18"/>
    </row>
    <row r="36" customFormat="false" ht="18" hidden="false" customHeight="true" outlineLevel="0" collapsed="false"/>
    <row r="37" customFormat="false" ht="24" hidden="false" customHeight="true" outlineLevel="0" collapsed="false">
      <c r="B37" s="19" t="s">
        <v>50</v>
      </c>
      <c r="C37" s="20" t="n">
        <f aca="false">C8+C12+C21+C35</f>
        <v>204320</v>
      </c>
      <c r="D37" s="21"/>
    </row>
    <row r="38" customFormat="false" ht="18" hidden="false" customHeight="true" outlineLevel="0" collapsed="false"/>
    <row r="39" customFormat="false" ht="18" hidden="false" customHeight="true" outlineLevel="0" collapsed="false">
      <c r="B39" s="22" t="s">
        <v>51</v>
      </c>
    </row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</sheetData>
  <mergeCells count="6">
    <mergeCell ref="B1:D1"/>
    <mergeCell ref="B2:D2"/>
    <mergeCell ref="B6:D6"/>
    <mergeCell ref="B10:D10"/>
    <mergeCell ref="B14:D14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2026-04-20T14:23:10Z</dcterms:created>
  <dc:creator>openpyxl</dc:creator>
  <dc:description/>
  <dc:language>en-US</dc:language>
  <cp:lastModifiedBy/>
  <dcterms:modified xsi:type="dcterms:W3CDTF">2026-04-20T14:23:10Z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